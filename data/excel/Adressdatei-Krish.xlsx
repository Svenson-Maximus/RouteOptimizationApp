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jana_koehler_hslu_ch/Documents/Dokumente/Lehre/Studenten/Bachelor/KrishSharma/"/>
    </mc:Choice>
  </mc:AlternateContent>
  <xr:revisionPtr revIDLastSave="0" documentId="8_{92B9137F-17D9-4D97-8932-A5E15EA1FA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</calcChain>
</file>

<file path=xl/sharedStrings.xml><?xml version="1.0" encoding="utf-8"?>
<sst xmlns="http://schemas.openxmlformats.org/spreadsheetml/2006/main" count="510" uniqueCount="242">
  <si>
    <t>All Customers from the Lake and City Tour</t>
  </si>
  <si>
    <t>All Green Customers given to Gecoding API</t>
  </si>
  <si>
    <t>Gecoding API marked as Ambigous and guessed correct location</t>
  </si>
  <si>
    <t>PaRadiesLi</t>
  </si>
  <si>
    <t>Lederbachweg</t>
  </si>
  <si>
    <t>Lichtensteig</t>
  </si>
  <si>
    <t>Key</t>
  </si>
  <si>
    <t>Name</t>
  </si>
  <si>
    <t>Given Address</t>
  </si>
  <si>
    <t>Formatted API Address</t>
  </si>
  <si>
    <t>MAJO</t>
  </si>
  <si>
    <t>Hauptgasse</t>
  </si>
  <si>
    <r>
      <rPr>
        <sz val="10"/>
        <color theme="1"/>
        <rFont val="Arial"/>
      </rPr>
      <t xml:space="preserve">Marked as </t>
    </r>
    <r>
      <rPr>
        <sz val="10"/>
        <color rgb="FFFF0000"/>
        <rFont val="Arial"/>
      </rPr>
      <t xml:space="preserve">XXX </t>
    </r>
    <r>
      <rPr>
        <sz val="10"/>
        <color theme="1"/>
        <rFont val="Arial"/>
      </rPr>
      <t>or Blank</t>
    </r>
  </si>
  <si>
    <t xml:space="preserve">Bettio Comestibles Seedammcenter </t>
  </si>
  <si>
    <t>Gwattstrasse 7a, 8808 Pfäffikon SZ, Switzerland</t>
  </si>
  <si>
    <t>Gwattstrasse 11, 8808 Freienbach, Switzerland</t>
  </si>
  <si>
    <t>Bio&amp;Fair</t>
  </si>
  <si>
    <t>Volkshausstrasse</t>
  </si>
  <si>
    <t>Wattwil</t>
  </si>
  <si>
    <r>
      <rPr>
        <sz val="10"/>
        <color theme="1"/>
        <rFont val="Arial"/>
      </rPr>
      <t xml:space="preserve">Mixed ☺ , </t>
    </r>
    <r>
      <rPr>
        <sz val="10"/>
        <color rgb="FFFF0000"/>
        <rFont val="Arial"/>
      </rPr>
      <t xml:space="preserve">XXX </t>
    </r>
    <r>
      <rPr>
        <sz val="10"/>
        <color theme="1"/>
        <rFont val="Arial"/>
      </rPr>
      <t>and (☺) or Improper Address</t>
    </r>
  </si>
  <si>
    <t>Molki Stäfa</t>
  </si>
  <si>
    <t>Bahnhofstrasse 22, 8712 Stäfa, Switzerland</t>
  </si>
  <si>
    <t>Bahnhofstrasse 26, 8712 Stäfa, Switzerland</t>
  </si>
  <si>
    <t>APODRO Reform Drogerie</t>
  </si>
  <si>
    <t>Molkereistrasse</t>
  </si>
  <si>
    <t>Jona</t>
  </si>
  <si>
    <t>Improper Address excluded by me</t>
  </si>
  <si>
    <t>Slight changes to address</t>
  </si>
  <si>
    <t>Bioladen Stöckenweid</t>
  </si>
  <si>
    <t>Schulhausstrasse 18, 8706 Meilen, Switzerland</t>
  </si>
  <si>
    <t>Ortimo AG</t>
  </si>
  <si>
    <t>obere Bahnhofstrasse</t>
  </si>
  <si>
    <t>Rapperswil</t>
  </si>
  <si>
    <t>Only ☺</t>
  </si>
  <si>
    <t>No address found</t>
  </si>
  <si>
    <t xml:space="preserve">Dorfmarkt </t>
  </si>
  <si>
    <t>Hauptstrasse 29, 9555 Tobel, Switzerland</t>
  </si>
  <si>
    <t>Hauptstrasse 29, 9555 Tobel-Tägerschen, Switzerland</t>
  </si>
  <si>
    <t>Naturlade Wald GmbH</t>
  </si>
  <si>
    <t>Schlipfstrasse</t>
  </si>
  <si>
    <t>Wald</t>
  </si>
  <si>
    <t>Total Customers</t>
  </si>
  <si>
    <t>Matched address</t>
  </si>
  <si>
    <t xml:space="preserve">EO Keller, Earlybird Food AG </t>
  </si>
  <si>
    <t>Aargauerstrasse 1, 8048 Zürich, Switzerland</t>
  </si>
  <si>
    <t>Aargauerstrasse 1a, 8048 Zürich, Switzerland</t>
  </si>
  <si>
    <t>Bettio Comestibles Seedammcenter</t>
  </si>
  <si>
    <t>Gwattstrasse</t>
  </si>
  <si>
    <t>7a</t>
  </si>
  <si>
    <t>Pfäffikon SZ</t>
  </si>
  <si>
    <t>Restaurant Spritzwerk, Proprius GmbH</t>
  </si>
  <si>
    <t>Zollstrasse 80, 8005 Zürich, Switzerland</t>
  </si>
  <si>
    <t>GZPK Getreidezüchtung P:Kunz</t>
  </si>
  <si>
    <t>Seestrasse</t>
  </si>
  <si>
    <t>Feldbach</t>
  </si>
  <si>
    <t>Fairmondo Stäfa</t>
  </si>
  <si>
    <t>Bahnhofwiese</t>
  </si>
  <si>
    <t>Stäfa</t>
  </si>
  <si>
    <t>Bahnhofstrasse</t>
  </si>
  <si>
    <t>Geocoding API was not able to locate</t>
  </si>
  <si>
    <t>Schulhausstrasse</t>
  </si>
  <si>
    <t>Meilen</t>
  </si>
  <si>
    <t>Südhang Weine</t>
  </si>
  <si>
    <t>8005 Zürich, Switzerland</t>
  </si>
  <si>
    <t>Kreisladen GmbH</t>
  </si>
  <si>
    <t>Untere Heslibachstrasse</t>
  </si>
  <si>
    <t>Küsnacht</t>
  </si>
  <si>
    <t>Restaurant Blaue Ente</t>
  </si>
  <si>
    <t>Seefeldstrasse</t>
  </si>
  <si>
    <t>Zürich</t>
  </si>
  <si>
    <t>Bachsermärt Seefeld</t>
  </si>
  <si>
    <t>Tibits Bistro</t>
  </si>
  <si>
    <t>Falkenstrasse</t>
  </si>
  <si>
    <t>Wild Bowls</t>
  </si>
  <si>
    <t>Reformhaus Stockerstrasse</t>
  </si>
  <si>
    <t>Stockerstrasse</t>
  </si>
  <si>
    <t>Bachsermärt Kalkbreite</t>
  </si>
  <si>
    <t>Badenerstrasse</t>
  </si>
  <si>
    <t>Restaurant Beke</t>
  </si>
  <si>
    <t>Bertastrasse</t>
  </si>
  <si>
    <t>West 169</t>
  </si>
  <si>
    <t>Weststrasse</t>
  </si>
  <si>
    <t>Wirtschaft im Franz</t>
  </si>
  <si>
    <t>Bremgartenstrasse</t>
  </si>
  <si>
    <t>Batter by Sibille Albertin</t>
  </si>
  <si>
    <t>Hildastrasse</t>
  </si>
  <si>
    <t>Der Bioladen</t>
  </si>
  <si>
    <t>Altstetterstrasse</t>
  </si>
  <si>
    <t>Bachsermärt Albisrieden</t>
  </si>
  <si>
    <t>Ginsterstrasse</t>
  </si>
  <si>
    <t>Albisrieden</t>
  </si>
  <si>
    <t>APODRO Reform Wiedikon</t>
  </si>
  <si>
    <t>Birmensdorferstrasse</t>
  </si>
  <si>
    <t>Dorfmarkt</t>
  </si>
  <si>
    <t>Hauptstrasse</t>
  </si>
  <si>
    <t>Tobel</t>
  </si>
  <si>
    <t>Claro Welt- und Quartierladen</t>
  </si>
  <si>
    <t>Althoossteig</t>
  </si>
  <si>
    <t>Restaurant Ziegelhütte</t>
  </si>
  <si>
    <t>Hüttenkopfstrasse</t>
  </si>
  <si>
    <t>Hitzberger Sihlcity</t>
  </si>
  <si>
    <t>Kalanderplatz</t>
  </si>
  <si>
    <t>Drogerie Schwamedingerhuus</t>
  </si>
  <si>
    <t>Saatlenstrasse</t>
  </si>
  <si>
    <t>Co-Working</t>
  </si>
  <si>
    <t>Tessinerplatz</t>
  </si>
  <si>
    <t>Öpfelchasper</t>
  </si>
  <si>
    <t>Hardturmstrasse</t>
  </si>
  <si>
    <t>Hiltl Strandbad</t>
  </si>
  <si>
    <t>Mythenquai</t>
  </si>
  <si>
    <t>Konsumdepot</t>
  </si>
  <si>
    <t>Hiltl am See</t>
  </si>
  <si>
    <t>Kilchberg</t>
  </si>
  <si>
    <t>EO Keller, Earlybird Food AG</t>
  </si>
  <si>
    <t>Aargauerstrasse</t>
  </si>
  <si>
    <t>Restaurant Adlisberg</t>
  </si>
  <si>
    <t>Adlisbergerstrasse</t>
  </si>
  <si>
    <t>Täglichbrot am Friesenplatz</t>
  </si>
  <si>
    <t>Friesenbergplatz</t>
  </si>
  <si>
    <t>Weber Comestibles</t>
  </si>
  <si>
    <t>Forchstrasse</t>
  </si>
  <si>
    <t>Zollikerberg</t>
  </si>
  <si>
    <t>Verein Täglichbrot, Onlineshop</t>
  </si>
  <si>
    <t>Stöckenweid Feldmeilen</t>
  </si>
  <si>
    <t>Bünishoferstrasse</t>
  </si>
  <si>
    <t>Feldmeilen</t>
  </si>
  <si>
    <t>Welschland à la Öpfelchasper</t>
  </si>
  <si>
    <t>Zweierstrasse</t>
  </si>
  <si>
    <t>Stiftung Stöckenweid</t>
  </si>
  <si>
    <t>Eggrüti</t>
  </si>
  <si>
    <t>Altstadt Hotel</t>
  </si>
  <si>
    <t>Kirchgasse</t>
  </si>
  <si>
    <t>Café Fortuna</t>
  </si>
  <si>
    <t>Dorfstrasse</t>
  </si>
  <si>
    <t>Unterwasser</t>
  </si>
  <si>
    <t>Benu Apotheke</t>
  </si>
  <si>
    <t>Witikonerstrasse</t>
  </si>
  <si>
    <t>Alnatura Stäfa</t>
  </si>
  <si>
    <t>Bistrot à Paris</t>
  </si>
  <si>
    <t>Asylstrasse</t>
  </si>
  <si>
    <t>Alnatura Uster</t>
  </si>
  <si>
    <t>Zürcherstrasse</t>
  </si>
  <si>
    <t>Uster</t>
  </si>
  <si>
    <t>LPQ, Le Pain Quotidien</t>
  </si>
  <si>
    <t>Römerhofplatz</t>
  </si>
  <si>
    <t>Alnatura Thalwil</t>
  </si>
  <si>
    <t>Alte Landstrasse</t>
  </si>
  <si>
    <t>Thalwil</t>
  </si>
  <si>
    <t>Privatklinik Bethanien</t>
  </si>
  <si>
    <t>Toblerstrasse</t>
  </si>
  <si>
    <t>Alnatura Wädenswil</t>
  </si>
  <si>
    <t>Oberdorfstrasse</t>
  </si>
  <si>
    <t>Wädenswil</t>
  </si>
  <si>
    <t>Vita Volta</t>
  </si>
  <si>
    <t>Voltastrasse</t>
  </si>
  <si>
    <t>Zürich (Fluntern)</t>
  </si>
  <si>
    <t>FC Münchwilen</t>
  </si>
  <si>
    <t>Weinfelderstrasse</t>
  </si>
  <si>
    <t>Münchwilen</t>
  </si>
  <si>
    <t>L’Ultimo Bacio</t>
  </si>
  <si>
    <t>Nordstrasse</t>
  </si>
  <si>
    <t>Zürich (Wipkingen)</t>
  </si>
  <si>
    <t>Chez Nous ZH GmbH</t>
  </si>
  <si>
    <t>Röschlibachstrassse</t>
  </si>
  <si>
    <t>Sphères</t>
  </si>
  <si>
    <t>Tritt-Käse</t>
  </si>
  <si>
    <t>Limmatstrasse</t>
  </si>
  <si>
    <t>Zürich (Viadukt)</t>
  </si>
  <si>
    <t>Onno GmbH</t>
  </si>
  <si>
    <t>Café des Amis</t>
  </si>
  <si>
    <t>Zollstrasse</t>
  </si>
  <si>
    <t>Brot Bistro &amp; Bar Bäckeranlage</t>
  </si>
  <si>
    <t>Hohlstrasse</t>
  </si>
  <si>
    <t>Gamper Bar</t>
  </si>
  <si>
    <t>Dienerstrasse</t>
  </si>
  <si>
    <t>Bar Butter</t>
  </si>
  <si>
    <t>Zwinglistrasse</t>
  </si>
  <si>
    <t>Lindenhofkeller</t>
  </si>
  <si>
    <t>Pfalzgasse</t>
  </si>
  <si>
    <t>Lotti Restaurant</t>
  </si>
  <si>
    <t>Werdmühleplatz</t>
  </si>
  <si>
    <t>Wystube Isebähnli AG</t>
  </si>
  <si>
    <t>Froschaugasse</t>
  </si>
  <si>
    <t>Letten Badi (Tel 079 704 64 52 Joachim)</t>
  </si>
  <si>
    <t>Lettensteg</t>
  </si>
  <si>
    <t>Genossenschaft Ortoloco</t>
  </si>
  <si>
    <t>Spreitenbacherstrasse</t>
  </si>
  <si>
    <t>Dietikon</t>
  </si>
  <si>
    <t>Kletterzentrum Gaswerk</t>
  </si>
  <si>
    <t>Kohlestrasse</t>
  </si>
  <si>
    <t>12b</t>
  </si>
  <si>
    <t>Schlieren</t>
  </si>
  <si>
    <t>BEETNUT</t>
  </si>
  <si>
    <t>Lagerstrasse</t>
  </si>
  <si>
    <t>16b</t>
  </si>
  <si>
    <t>Tibits Oerlikon</t>
  </si>
  <si>
    <t>Tramstrasse</t>
  </si>
  <si>
    <t>Babus Bakery</t>
  </si>
  <si>
    <t>Löwenstrasse</t>
  </si>
  <si>
    <t>Hiltl</t>
  </si>
  <si>
    <t>Sihlstrasse</t>
  </si>
  <si>
    <t>Zürich (Annagasse)</t>
  </si>
  <si>
    <t>Restaurant Volkshaus</t>
  </si>
  <si>
    <t>Stauffacherstrassse</t>
  </si>
  <si>
    <t>Bleicherweg</t>
  </si>
  <si>
    <t>Sarys SA</t>
  </si>
  <si>
    <t>Winterthurerstrasse</t>
  </si>
  <si>
    <t>Hitzberger Glattzentrum</t>
  </si>
  <si>
    <t>—</t>
  </si>
  <si>
    <t>Hitzberger Hardbrücke ZH</t>
  </si>
  <si>
    <t>Hardstrasse</t>
  </si>
  <si>
    <t>Hitzberger HB</t>
  </si>
  <si>
    <t>Halle Löwenstrasse / Landesmuseum</t>
  </si>
  <si>
    <t>Hitzberger Löwenstrasse, Migros Gebäude</t>
  </si>
  <si>
    <t>Hitzberger Neumarkt Oerlikon</t>
  </si>
  <si>
    <t>Hofwiesenstrasse</t>
  </si>
  <si>
    <t>Hiltl, Sihlpost Europaallee</t>
  </si>
  <si>
    <t>Freischützstrasse</t>
  </si>
  <si>
    <t>1a</t>
  </si>
  <si>
    <t>Hiltl Dachterrasse</t>
  </si>
  <si>
    <t>Banhofstrasse</t>
  </si>
  <si>
    <t>apoTHEKE</t>
  </si>
  <si>
    <t>Züribergstrasse</t>
  </si>
  <si>
    <t>Theater Rigiblick</t>
  </si>
  <si>
    <t>Germaniastrasse</t>
  </si>
  <si>
    <t>Novu Campus AG, The Circle 61</t>
  </si>
  <si>
    <t>Anlieferung B1</t>
  </si>
  <si>
    <t>Flughafen Kloten</t>
  </si>
  <si>
    <t>biolocal Flughafen</t>
  </si>
  <si>
    <t>Tor 101</t>
  </si>
  <si>
    <t>Gate Gourmet Switzerland</t>
  </si>
  <si>
    <t>Borddienststrasse</t>
  </si>
  <si>
    <t>Kornhaus</t>
  </si>
  <si>
    <t>Sonnenhofstrasse</t>
  </si>
  <si>
    <t>Wil</t>
  </si>
  <si>
    <t>Leergut Markt Depot Altstadt</t>
  </si>
  <si>
    <t>Limmatstrasse 231, 8005 Zürich (Viadukt), Switzerland</t>
  </si>
  <si>
    <t>identical</t>
  </si>
  <si>
    <t>quite different</t>
  </si>
  <si>
    <t>next door</t>
  </si>
  <si>
    <t>no change</t>
  </si>
  <si>
    <t>Limmatstr. Is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</si>
</sst>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u/>
      <sz val="10"/>
      <color theme="1"/>
      <name val="Arial"/>
      <scheme val="minor"/>
    </font>
    <font>
      <sz val="11"/>
      <color rgb="FF000000"/>
      <name val="Calibri"/>
    </font>
    <font>
      <i/>
      <u/>
      <sz val="10"/>
      <color theme="1"/>
      <name val="Arial"/>
      <scheme val="minor"/>
    </font>
    <font>
      <i/>
      <u/>
      <sz val="10"/>
      <color theme="1"/>
      <name val="Arial"/>
      <scheme val="minor"/>
    </font>
    <font>
      <i/>
      <u/>
      <sz val="10"/>
      <color theme="1"/>
      <name val="Arial"/>
      <scheme val="minor"/>
    </font>
    <font>
      <i/>
      <u/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2" fillId="5" borderId="0" xfId="0" applyFont="1" applyFill="1"/>
    <xf numFmtId="0" fontId="2" fillId="0" borderId="0" xfId="0" applyFont="1"/>
    <xf numFmtId="0" fontId="4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6" borderId="0" xfId="0" applyFont="1" applyFill="1"/>
    <xf numFmtId="0" fontId="2" fillId="4" borderId="0" xfId="0" applyFont="1" applyFill="1"/>
    <xf numFmtId="0" fontId="2" fillId="9" borderId="0" xfId="0" applyFont="1" applyFill="1"/>
    <xf numFmtId="0" fontId="2" fillId="0" borderId="0" xfId="0" applyFont="1" applyAlignment="1">
      <alignment horizontal="right" wrapText="1"/>
    </xf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right" wrapText="1"/>
    </xf>
    <xf numFmtId="0" fontId="5" fillId="5" borderId="0" xfId="0" applyFont="1" applyFill="1" applyAlignment="1">
      <alignment wrapText="1"/>
    </xf>
    <xf numFmtId="0" fontId="4" fillId="9" borderId="0" xfId="0" applyFont="1" applyFill="1"/>
    <xf numFmtId="0" fontId="6" fillId="7" borderId="0" xfId="0" applyFont="1" applyFill="1" applyAlignment="1">
      <alignment wrapText="1"/>
    </xf>
    <xf numFmtId="0" fontId="7" fillId="7" borderId="0" xfId="0" applyFont="1" applyFill="1"/>
    <xf numFmtId="0" fontId="2" fillId="0" borderId="0" xfId="0" applyFont="1" applyAlignment="1">
      <alignment horizontal="right"/>
    </xf>
    <xf numFmtId="0" fontId="2" fillId="9" borderId="0" xfId="0" applyFont="1" applyFill="1" applyAlignment="1">
      <alignment wrapText="1"/>
    </xf>
    <xf numFmtId="0" fontId="8" fillId="8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4"/>
  <sheetViews>
    <sheetView tabSelected="1" topLeftCell="R1" workbookViewId="0">
      <selection activeCell="T1" sqref="T1:X11"/>
    </sheetView>
  </sheetViews>
  <sheetFormatPr baseColWidth="10" defaultColWidth="12.6328125" defaultRowHeight="15.75" customHeight="1" x14ac:dyDescent="0.25"/>
  <cols>
    <col min="18" max="18" width="18.26953125" customWidth="1"/>
    <col min="20" max="20" width="30.6328125" customWidth="1"/>
    <col min="21" max="21" width="43.36328125" customWidth="1"/>
    <col min="22" max="22" width="51.90625" customWidth="1"/>
  </cols>
  <sheetData>
    <row r="1" spans="1:25" x14ac:dyDescent="0.3">
      <c r="A1" s="23" t="s">
        <v>0</v>
      </c>
      <c r="B1" s="24"/>
      <c r="C1" s="24"/>
      <c r="D1" s="24"/>
      <c r="E1" s="24"/>
      <c r="K1" s="23" t="s">
        <v>1</v>
      </c>
      <c r="L1" s="24"/>
      <c r="M1" s="24"/>
      <c r="N1" s="24"/>
      <c r="O1" s="24"/>
      <c r="T1" s="25" t="s">
        <v>2</v>
      </c>
      <c r="U1" s="24"/>
      <c r="V1" s="24"/>
      <c r="Y1" s="1"/>
    </row>
    <row r="2" spans="1:25" ht="15.75" customHeight="1" x14ac:dyDescent="0.35">
      <c r="A2" s="2" t="s">
        <v>3</v>
      </c>
      <c r="B2" s="3" t="s">
        <v>4</v>
      </c>
      <c r="C2" s="3">
        <v>1</v>
      </c>
      <c r="D2" s="3" t="s">
        <v>5</v>
      </c>
      <c r="E2" s="3">
        <v>9620</v>
      </c>
      <c r="G2" s="23" t="s">
        <v>6</v>
      </c>
      <c r="H2" s="24"/>
      <c r="K2" s="2" t="s">
        <v>3</v>
      </c>
      <c r="L2" s="3" t="s">
        <v>4</v>
      </c>
      <c r="M2" s="3">
        <v>1</v>
      </c>
      <c r="N2" s="3" t="s">
        <v>5</v>
      </c>
      <c r="O2" s="3">
        <v>9620</v>
      </c>
      <c r="T2" s="1" t="s">
        <v>7</v>
      </c>
      <c r="U2" s="1" t="s">
        <v>8</v>
      </c>
      <c r="V2" s="4" t="s">
        <v>9</v>
      </c>
      <c r="W2" s="1"/>
      <c r="X2" s="1"/>
    </row>
    <row r="3" spans="1:25" ht="15.75" customHeight="1" x14ac:dyDescent="0.35">
      <c r="A3" s="2" t="s">
        <v>10</v>
      </c>
      <c r="B3" s="3" t="s">
        <v>11</v>
      </c>
      <c r="C3" s="3">
        <v>12</v>
      </c>
      <c r="D3" s="3" t="s">
        <v>5</v>
      </c>
      <c r="E3" s="3">
        <v>9620</v>
      </c>
      <c r="G3" s="5">
        <v>15</v>
      </c>
      <c r="H3" s="6" t="s">
        <v>12</v>
      </c>
      <c r="K3" s="2" t="s">
        <v>10</v>
      </c>
      <c r="L3" s="3" t="s">
        <v>11</v>
      </c>
      <c r="M3" s="3">
        <v>12</v>
      </c>
      <c r="N3" s="3" t="s">
        <v>5</v>
      </c>
      <c r="O3" s="3">
        <v>9620</v>
      </c>
      <c r="T3" s="7" t="s">
        <v>13</v>
      </c>
      <c r="U3" s="4" t="s">
        <v>14</v>
      </c>
      <c r="V3" s="4" t="s">
        <v>15</v>
      </c>
      <c r="W3" t="s">
        <v>238</v>
      </c>
    </row>
    <row r="4" spans="1:25" ht="15.75" customHeight="1" x14ac:dyDescent="0.35">
      <c r="A4" s="2" t="s">
        <v>16</v>
      </c>
      <c r="B4" s="3" t="s">
        <v>17</v>
      </c>
      <c r="C4" s="3">
        <v>22</v>
      </c>
      <c r="D4" s="3" t="s">
        <v>18</v>
      </c>
      <c r="E4" s="3">
        <v>9630</v>
      </c>
      <c r="G4" s="8">
        <v>16</v>
      </c>
      <c r="H4" s="6" t="s">
        <v>19</v>
      </c>
      <c r="K4" s="2" t="s">
        <v>16</v>
      </c>
      <c r="L4" s="3" t="s">
        <v>17</v>
      </c>
      <c r="M4" s="3">
        <v>22</v>
      </c>
      <c r="N4" s="3" t="s">
        <v>18</v>
      </c>
      <c r="O4" s="3">
        <v>9630</v>
      </c>
      <c r="Q4" s="23" t="s">
        <v>6</v>
      </c>
      <c r="R4" s="24"/>
      <c r="T4" s="7" t="s">
        <v>20</v>
      </c>
      <c r="U4" s="4" t="s">
        <v>21</v>
      </c>
      <c r="V4" s="4" t="s">
        <v>22</v>
      </c>
      <c r="W4" t="s">
        <v>239</v>
      </c>
    </row>
    <row r="5" spans="1:25" ht="15.75" customHeight="1" x14ac:dyDescent="0.35">
      <c r="A5" s="2" t="s">
        <v>23</v>
      </c>
      <c r="B5" s="3" t="s">
        <v>24</v>
      </c>
      <c r="C5" s="3">
        <v>16</v>
      </c>
      <c r="D5" s="3" t="s">
        <v>25</v>
      </c>
      <c r="E5" s="3">
        <v>8646</v>
      </c>
      <c r="G5" s="9">
        <v>5</v>
      </c>
      <c r="H5" s="6" t="s">
        <v>26</v>
      </c>
      <c r="K5" s="2" t="s">
        <v>23</v>
      </c>
      <c r="L5" s="3" t="s">
        <v>24</v>
      </c>
      <c r="M5" s="3">
        <v>16</v>
      </c>
      <c r="N5" s="3" t="s">
        <v>25</v>
      </c>
      <c r="O5" s="3">
        <v>8646</v>
      </c>
      <c r="Q5" s="10">
        <v>7</v>
      </c>
      <c r="R5" s="6" t="s">
        <v>27</v>
      </c>
      <c r="T5" s="7" t="s">
        <v>28</v>
      </c>
      <c r="U5" s="4" t="s">
        <v>29</v>
      </c>
      <c r="V5" s="4" t="s">
        <v>29</v>
      </c>
      <c r="W5" t="s">
        <v>240</v>
      </c>
    </row>
    <row r="6" spans="1:25" ht="15.75" customHeight="1" x14ac:dyDescent="0.35">
      <c r="A6" s="2" t="s">
        <v>30</v>
      </c>
      <c r="B6" s="3" t="s">
        <v>31</v>
      </c>
      <c r="C6" s="3">
        <v>58</v>
      </c>
      <c r="D6" s="3" t="s">
        <v>32</v>
      </c>
      <c r="E6" s="3">
        <v>8640</v>
      </c>
      <c r="G6" s="11">
        <f>57</f>
        <v>57</v>
      </c>
      <c r="H6" s="6" t="s">
        <v>33</v>
      </c>
      <c r="K6" s="2" t="s">
        <v>30</v>
      </c>
      <c r="L6" s="3" t="s">
        <v>31</v>
      </c>
      <c r="M6" s="3">
        <v>58</v>
      </c>
      <c r="N6" s="3" t="s">
        <v>32</v>
      </c>
      <c r="O6" s="3">
        <v>8640</v>
      </c>
      <c r="Q6" s="12">
        <v>1</v>
      </c>
      <c r="R6" s="6" t="s">
        <v>34</v>
      </c>
      <c r="T6" s="7" t="s">
        <v>35</v>
      </c>
      <c r="U6" s="4" t="s">
        <v>36</v>
      </c>
      <c r="V6" s="4" t="s">
        <v>37</v>
      </c>
      <c r="W6" t="s">
        <v>240</v>
      </c>
    </row>
    <row r="7" spans="1:25" ht="15.75" customHeight="1" x14ac:dyDescent="0.35">
      <c r="A7" s="2" t="s">
        <v>38</v>
      </c>
      <c r="B7" s="3" t="s">
        <v>39</v>
      </c>
      <c r="C7" s="3">
        <v>12</v>
      </c>
      <c r="D7" s="3" t="s">
        <v>40</v>
      </c>
      <c r="E7" s="3">
        <v>8636</v>
      </c>
      <c r="G7" s="6">
        <f>SUM(G3:G6)</f>
        <v>93</v>
      </c>
      <c r="H7" s="6" t="s">
        <v>41</v>
      </c>
      <c r="K7" s="2" t="s">
        <v>38</v>
      </c>
      <c r="L7" s="3" t="s">
        <v>39</v>
      </c>
      <c r="M7" s="3">
        <v>12</v>
      </c>
      <c r="N7" s="3" t="s">
        <v>40</v>
      </c>
      <c r="O7" s="3">
        <v>8636</v>
      </c>
      <c r="Q7" s="6">
        <v>49</v>
      </c>
      <c r="R7" s="6" t="s">
        <v>42</v>
      </c>
      <c r="T7" s="7" t="s">
        <v>43</v>
      </c>
      <c r="U7" s="4" t="s">
        <v>44</v>
      </c>
      <c r="V7" s="4" t="s">
        <v>45</v>
      </c>
      <c r="W7" t="s">
        <v>239</v>
      </c>
    </row>
    <row r="8" spans="1:25" ht="15.75" customHeight="1" x14ac:dyDescent="0.35">
      <c r="A8" s="2" t="s">
        <v>46</v>
      </c>
      <c r="B8" s="3" t="s">
        <v>47</v>
      </c>
      <c r="C8" s="13" t="s">
        <v>48</v>
      </c>
      <c r="D8" s="3" t="s">
        <v>49</v>
      </c>
      <c r="E8" s="3">
        <v>8808</v>
      </c>
      <c r="K8" s="2" t="s">
        <v>46</v>
      </c>
      <c r="L8" s="14" t="s">
        <v>47</v>
      </c>
      <c r="M8" s="15" t="s">
        <v>48</v>
      </c>
      <c r="N8" s="14" t="s">
        <v>49</v>
      </c>
      <c r="O8" s="14">
        <v>8808</v>
      </c>
      <c r="T8" s="7" t="s">
        <v>50</v>
      </c>
      <c r="U8" s="4" t="s">
        <v>51</v>
      </c>
      <c r="V8" s="4" t="s">
        <v>51</v>
      </c>
      <c r="W8" t="s">
        <v>237</v>
      </c>
    </row>
    <row r="9" spans="1:25" x14ac:dyDescent="0.3">
      <c r="A9" s="16" t="s">
        <v>52</v>
      </c>
      <c r="B9" s="3" t="s">
        <v>53</v>
      </c>
      <c r="C9" s="3">
        <v>6</v>
      </c>
      <c r="D9" s="3" t="s">
        <v>54</v>
      </c>
      <c r="E9" s="3">
        <v>8714</v>
      </c>
      <c r="K9" s="2" t="s">
        <v>55</v>
      </c>
      <c r="L9" s="3" t="s">
        <v>56</v>
      </c>
      <c r="M9" s="3">
        <v>11</v>
      </c>
      <c r="N9" s="3" t="s">
        <v>57</v>
      </c>
      <c r="O9" s="3">
        <v>8712</v>
      </c>
    </row>
    <row r="10" spans="1:25" x14ac:dyDescent="0.3">
      <c r="A10" s="2" t="s">
        <v>55</v>
      </c>
      <c r="B10" s="3" t="s">
        <v>56</v>
      </c>
      <c r="C10" s="3">
        <v>11</v>
      </c>
      <c r="D10" s="3" t="s">
        <v>57</v>
      </c>
      <c r="E10" s="3">
        <v>8712</v>
      </c>
      <c r="K10" s="2" t="s">
        <v>20</v>
      </c>
      <c r="L10" s="14" t="s">
        <v>58</v>
      </c>
      <c r="M10" s="14">
        <v>22</v>
      </c>
      <c r="N10" s="14" t="s">
        <v>57</v>
      </c>
      <c r="O10" s="14">
        <v>8712</v>
      </c>
      <c r="T10" s="25" t="s">
        <v>59</v>
      </c>
      <c r="U10" s="24"/>
      <c r="V10" s="24"/>
    </row>
    <row r="11" spans="1:25" ht="15.75" customHeight="1" x14ac:dyDescent="0.35">
      <c r="A11" s="2" t="s">
        <v>20</v>
      </c>
      <c r="B11" s="3" t="s">
        <v>58</v>
      </c>
      <c r="C11" s="3">
        <v>22</v>
      </c>
      <c r="D11" s="3" t="s">
        <v>57</v>
      </c>
      <c r="E11" s="3">
        <v>8712</v>
      </c>
      <c r="K11" s="2" t="s">
        <v>28</v>
      </c>
      <c r="L11" s="14" t="s">
        <v>60</v>
      </c>
      <c r="M11" s="14">
        <v>18</v>
      </c>
      <c r="N11" s="14" t="s">
        <v>61</v>
      </c>
      <c r="O11" s="14">
        <v>8706</v>
      </c>
      <c r="T11" s="17" t="s">
        <v>62</v>
      </c>
      <c r="U11" s="6" t="s">
        <v>236</v>
      </c>
      <c r="V11" s="6" t="s">
        <v>63</v>
      </c>
      <c r="W11" t="s">
        <v>241</v>
      </c>
    </row>
    <row r="12" spans="1:25" x14ac:dyDescent="0.3">
      <c r="A12" s="2" t="s">
        <v>28</v>
      </c>
      <c r="B12" s="3" t="s">
        <v>60</v>
      </c>
      <c r="C12" s="3">
        <v>18</v>
      </c>
      <c r="D12" s="3" t="s">
        <v>61</v>
      </c>
      <c r="E12" s="3">
        <v>8706</v>
      </c>
      <c r="K12" s="2" t="s">
        <v>64</v>
      </c>
      <c r="L12" s="3" t="s">
        <v>65</v>
      </c>
      <c r="M12" s="3">
        <v>19</v>
      </c>
      <c r="N12" s="3" t="s">
        <v>66</v>
      </c>
      <c r="O12" s="3">
        <v>8700</v>
      </c>
    </row>
    <row r="13" spans="1:25" x14ac:dyDescent="0.3">
      <c r="A13" s="2" t="s">
        <v>64</v>
      </c>
      <c r="B13" s="3" t="s">
        <v>65</v>
      </c>
      <c r="C13" s="3">
        <v>19</v>
      </c>
      <c r="D13" s="3" t="s">
        <v>66</v>
      </c>
      <c r="E13" s="3">
        <v>8700</v>
      </c>
      <c r="K13" s="2" t="s">
        <v>67</v>
      </c>
      <c r="L13" s="3" t="s">
        <v>68</v>
      </c>
      <c r="M13" s="3">
        <v>223</v>
      </c>
      <c r="N13" s="3" t="s">
        <v>69</v>
      </c>
      <c r="O13" s="3">
        <v>8008</v>
      </c>
    </row>
    <row r="14" spans="1:25" x14ac:dyDescent="0.3">
      <c r="A14" s="2" t="s">
        <v>67</v>
      </c>
      <c r="B14" s="3" t="s">
        <v>68</v>
      </c>
      <c r="C14" s="3">
        <v>223</v>
      </c>
      <c r="D14" s="3" t="s">
        <v>69</v>
      </c>
      <c r="E14" s="3">
        <v>8008</v>
      </c>
      <c r="K14" s="2" t="s">
        <v>70</v>
      </c>
      <c r="L14" s="3" t="s">
        <v>68</v>
      </c>
      <c r="M14" s="3">
        <v>29</v>
      </c>
      <c r="N14" s="3" t="s">
        <v>69</v>
      </c>
      <c r="O14" s="3">
        <v>8008</v>
      </c>
    </row>
    <row r="15" spans="1:25" x14ac:dyDescent="0.3">
      <c r="A15" s="2" t="s">
        <v>70</v>
      </c>
      <c r="B15" s="3" t="s">
        <v>68</v>
      </c>
      <c r="C15" s="3">
        <v>29</v>
      </c>
      <c r="D15" s="3" t="s">
        <v>69</v>
      </c>
      <c r="E15" s="3">
        <v>8008</v>
      </c>
      <c r="K15" s="2" t="s">
        <v>71</v>
      </c>
      <c r="L15" s="3" t="s">
        <v>72</v>
      </c>
      <c r="M15" s="3">
        <v>12</v>
      </c>
      <c r="N15" s="3" t="s">
        <v>69</v>
      </c>
      <c r="O15" s="3">
        <v>8008</v>
      </c>
    </row>
    <row r="16" spans="1:25" x14ac:dyDescent="0.3">
      <c r="A16" s="18" t="s">
        <v>73</v>
      </c>
      <c r="B16" s="3" t="s">
        <v>68</v>
      </c>
      <c r="C16" s="3">
        <v>25</v>
      </c>
      <c r="D16" s="3" t="s">
        <v>69</v>
      </c>
      <c r="E16" s="3">
        <v>8008</v>
      </c>
      <c r="K16" s="2" t="s">
        <v>74</v>
      </c>
      <c r="L16" s="3" t="s">
        <v>75</v>
      </c>
      <c r="M16" s="3">
        <v>38</v>
      </c>
      <c r="N16" s="3" t="s">
        <v>69</v>
      </c>
      <c r="O16" s="3">
        <v>8002</v>
      </c>
    </row>
    <row r="17" spans="1:15" x14ac:dyDescent="0.3">
      <c r="A17" s="2" t="s">
        <v>71</v>
      </c>
      <c r="B17" s="3" t="s">
        <v>72</v>
      </c>
      <c r="C17" s="3">
        <v>12</v>
      </c>
      <c r="D17" s="3" t="s">
        <v>69</v>
      </c>
      <c r="E17" s="3">
        <v>8008</v>
      </c>
      <c r="K17" s="2" t="s">
        <v>76</v>
      </c>
      <c r="L17" s="3" t="s">
        <v>77</v>
      </c>
      <c r="M17" s="3">
        <v>171</v>
      </c>
      <c r="N17" s="3" t="s">
        <v>69</v>
      </c>
      <c r="O17" s="3">
        <v>8004</v>
      </c>
    </row>
    <row r="18" spans="1:15" x14ac:dyDescent="0.3">
      <c r="A18" s="2" t="s">
        <v>74</v>
      </c>
      <c r="B18" s="3" t="s">
        <v>75</v>
      </c>
      <c r="C18" s="3">
        <v>38</v>
      </c>
      <c r="D18" s="3" t="s">
        <v>69</v>
      </c>
      <c r="E18" s="3">
        <v>8002</v>
      </c>
      <c r="K18" s="2" t="s">
        <v>78</v>
      </c>
      <c r="L18" s="3" t="s">
        <v>79</v>
      </c>
      <c r="M18" s="3">
        <v>16</v>
      </c>
      <c r="N18" s="3" t="s">
        <v>69</v>
      </c>
      <c r="O18" s="3">
        <v>8003</v>
      </c>
    </row>
    <row r="19" spans="1:15" x14ac:dyDescent="0.3">
      <c r="A19" s="2" t="s">
        <v>76</v>
      </c>
      <c r="B19" s="3" t="s">
        <v>77</v>
      </c>
      <c r="C19" s="3">
        <v>171</v>
      </c>
      <c r="D19" s="3" t="s">
        <v>69</v>
      </c>
      <c r="E19" s="3">
        <v>8004</v>
      </c>
      <c r="K19" s="2" t="s">
        <v>80</v>
      </c>
      <c r="L19" s="3" t="s">
        <v>81</v>
      </c>
      <c r="M19" s="3">
        <v>169</v>
      </c>
      <c r="N19" s="3" t="s">
        <v>69</v>
      </c>
      <c r="O19" s="3">
        <v>8003</v>
      </c>
    </row>
    <row r="20" spans="1:15" ht="26" x14ac:dyDescent="0.3">
      <c r="A20" s="2" t="s">
        <v>78</v>
      </c>
      <c r="B20" s="3" t="s">
        <v>79</v>
      </c>
      <c r="C20" s="3">
        <v>16</v>
      </c>
      <c r="D20" s="3" t="s">
        <v>69</v>
      </c>
      <c r="E20" s="3">
        <v>8003</v>
      </c>
      <c r="K20" s="2" t="s">
        <v>82</v>
      </c>
      <c r="L20" s="3" t="s">
        <v>83</v>
      </c>
      <c r="M20" s="3">
        <v>18</v>
      </c>
      <c r="N20" s="3" t="s">
        <v>69</v>
      </c>
      <c r="O20" s="3">
        <v>8003</v>
      </c>
    </row>
    <row r="21" spans="1:15" ht="39" x14ac:dyDescent="0.3">
      <c r="A21" s="16" t="s">
        <v>84</v>
      </c>
      <c r="B21" s="3" t="s">
        <v>85</v>
      </c>
      <c r="C21" s="3">
        <v>11</v>
      </c>
      <c r="D21" s="3" t="s">
        <v>69</v>
      </c>
      <c r="E21" s="3">
        <v>8004</v>
      </c>
      <c r="K21" s="2" t="s">
        <v>86</v>
      </c>
      <c r="L21" s="3" t="s">
        <v>87</v>
      </c>
      <c r="M21" s="3">
        <v>128</v>
      </c>
      <c r="N21" s="3" t="s">
        <v>69</v>
      </c>
      <c r="O21" s="3">
        <v>8048</v>
      </c>
    </row>
    <row r="22" spans="1:15" ht="26" x14ac:dyDescent="0.3">
      <c r="A22" s="2" t="s">
        <v>80</v>
      </c>
      <c r="B22" s="3" t="s">
        <v>81</v>
      </c>
      <c r="C22" s="3">
        <v>169</v>
      </c>
      <c r="D22" s="3" t="s">
        <v>69</v>
      </c>
      <c r="E22" s="3">
        <v>8003</v>
      </c>
      <c r="K22" s="2" t="s">
        <v>88</v>
      </c>
      <c r="L22" s="3" t="s">
        <v>89</v>
      </c>
      <c r="M22" s="3">
        <v>1</v>
      </c>
      <c r="N22" s="3" t="s">
        <v>90</v>
      </c>
      <c r="O22" s="3">
        <v>8047</v>
      </c>
    </row>
    <row r="23" spans="1:15" ht="39" x14ac:dyDescent="0.3">
      <c r="A23" s="2" t="s">
        <v>82</v>
      </c>
      <c r="B23" s="3" t="s">
        <v>83</v>
      </c>
      <c r="C23" s="3">
        <v>18</v>
      </c>
      <c r="D23" s="3" t="s">
        <v>69</v>
      </c>
      <c r="E23" s="3">
        <v>8003</v>
      </c>
      <c r="K23" s="2" t="s">
        <v>91</v>
      </c>
      <c r="L23" s="3" t="s">
        <v>92</v>
      </c>
      <c r="M23" s="3">
        <v>145</v>
      </c>
      <c r="N23" s="3" t="s">
        <v>69</v>
      </c>
      <c r="O23" s="3">
        <v>8003</v>
      </c>
    </row>
    <row r="24" spans="1:15" ht="25.5" x14ac:dyDescent="0.3">
      <c r="A24" s="2" t="s">
        <v>86</v>
      </c>
      <c r="B24" s="3" t="s">
        <v>87</v>
      </c>
      <c r="C24" s="3">
        <v>128</v>
      </c>
      <c r="D24" s="3" t="s">
        <v>69</v>
      </c>
      <c r="E24" s="3">
        <v>8048</v>
      </c>
      <c r="K24" s="2" t="s">
        <v>93</v>
      </c>
      <c r="L24" s="14" t="s">
        <v>94</v>
      </c>
      <c r="M24" s="14">
        <v>29</v>
      </c>
      <c r="N24" s="14" t="s">
        <v>95</v>
      </c>
      <c r="O24" s="14">
        <v>9555</v>
      </c>
    </row>
    <row r="25" spans="1:15" ht="39" x14ac:dyDescent="0.3">
      <c r="A25" s="2" t="s">
        <v>88</v>
      </c>
      <c r="B25" s="3" t="s">
        <v>89</v>
      </c>
      <c r="C25" s="3">
        <v>1</v>
      </c>
      <c r="D25" s="3" t="s">
        <v>90</v>
      </c>
      <c r="E25" s="3">
        <v>8047</v>
      </c>
      <c r="K25" s="2" t="s">
        <v>96</v>
      </c>
      <c r="L25" s="3" t="s">
        <v>97</v>
      </c>
      <c r="M25" s="3">
        <v>2</v>
      </c>
      <c r="N25" s="3" t="s">
        <v>69</v>
      </c>
      <c r="O25" s="3">
        <v>8046</v>
      </c>
    </row>
    <row r="26" spans="1:15" ht="39" x14ac:dyDescent="0.3">
      <c r="A26" s="2" t="s">
        <v>91</v>
      </c>
      <c r="B26" s="3" t="s">
        <v>92</v>
      </c>
      <c r="C26" s="3">
        <v>145</v>
      </c>
      <c r="D26" s="3" t="s">
        <v>69</v>
      </c>
      <c r="E26" s="3">
        <v>8003</v>
      </c>
      <c r="K26" s="2" t="s">
        <v>98</v>
      </c>
      <c r="L26" s="3" t="s">
        <v>99</v>
      </c>
      <c r="M26" s="3">
        <v>70</v>
      </c>
      <c r="N26" s="3" t="s">
        <v>69</v>
      </c>
      <c r="O26" s="3">
        <v>8051</v>
      </c>
    </row>
    <row r="27" spans="1:15" ht="39" x14ac:dyDescent="0.3">
      <c r="A27" s="16" t="s">
        <v>100</v>
      </c>
      <c r="B27" s="3" t="s">
        <v>101</v>
      </c>
      <c r="C27" s="3">
        <v>1</v>
      </c>
      <c r="D27" s="3" t="s">
        <v>69</v>
      </c>
      <c r="E27" s="3">
        <v>8045</v>
      </c>
      <c r="K27" s="2" t="s">
        <v>102</v>
      </c>
      <c r="L27" s="3" t="s">
        <v>103</v>
      </c>
      <c r="M27" s="3">
        <v>12</v>
      </c>
      <c r="N27" s="3" t="s">
        <v>69</v>
      </c>
      <c r="O27" s="3">
        <v>8051</v>
      </c>
    </row>
    <row r="28" spans="1:15" ht="25.5" x14ac:dyDescent="0.3">
      <c r="A28" s="16" t="s">
        <v>104</v>
      </c>
      <c r="B28" s="3" t="s">
        <v>105</v>
      </c>
      <c r="C28" s="3">
        <v>7</v>
      </c>
      <c r="D28" s="3" t="s">
        <v>69</v>
      </c>
      <c r="E28" s="3">
        <v>8002</v>
      </c>
      <c r="K28" s="2" t="s">
        <v>106</v>
      </c>
      <c r="L28" s="3" t="s">
        <v>107</v>
      </c>
      <c r="M28" s="3">
        <v>171</v>
      </c>
      <c r="N28" s="3" t="s">
        <v>69</v>
      </c>
      <c r="O28" s="3">
        <v>8005</v>
      </c>
    </row>
    <row r="29" spans="1:15" ht="26" x14ac:dyDescent="0.3">
      <c r="A29" s="18" t="s">
        <v>108</v>
      </c>
      <c r="B29" s="3" t="s">
        <v>109</v>
      </c>
      <c r="C29" s="3">
        <v>95</v>
      </c>
      <c r="D29" s="3" t="s">
        <v>69</v>
      </c>
      <c r="E29" s="3">
        <v>8002</v>
      </c>
      <c r="K29" s="2" t="s">
        <v>110</v>
      </c>
      <c r="L29" s="3" t="s">
        <v>107</v>
      </c>
      <c r="M29" s="3">
        <v>269</v>
      </c>
      <c r="N29" s="3" t="s">
        <v>69</v>
      </c>
      <c r="O29" s="3">
        <v>8005</v>
      </c>
    </row>
    <row r="30" spans="1:15" ht="39" x14ac:dyDescent="0.3">
      <c r="A30" s="18" t="s">
        <v>111</v>
      </c>
      <c r="B30" s="3" t="s">
        <v>53</v>
      </c>
      <c r="C30" s="3">
        <v>205</v>
      </c>
      <c r="D30" s="3" t="s">
        <v>112</v>
      </c>
      <c r="E30" s="3">
        <v>8802</v>
      </c>
      <c r="K30" s="2" t="s">
        <v>113</v>
      </c>
      <c r="L30" s="14" t="s">
        <v>114</v>
      </c>
      <c r="M30" s="14">
        <v>1</v>
      </c>
      <c r="N30" s="14" t="s">
        <v>69</v>
      </c>
      <c r="O30" s="14">
        <v>8048</v>
      </c>
    </row>
    <row r="31" spans="1:15" ht="39" x14ac:dyDescent="0.3">
      <c r="A31" s="18" t="s">
        <v>115</v>
      </c>
      <c r="B31" s="3" t="s">
        <v>116</v>
      </c>
      <c r="C31" s="3">
        <v>75</v>
      </c>
      <c r="D31" s="3" t="s">
        <v>69</v>
      </c>
      <c r="E31" s="3">
        <v>8044</v>
      </c>
      <c r="K31" s="2" t="s">
        <v>117</v>
      </c>
      <c r="L31" s="3" t="s">
        <v>118</v>
      </c>
      <c r="M31" s="3">
        <v>5</v>
      </c>
      <c r="N31" s="3" t="s">
        <v>69</v>
      </c>
      <c r="O31" s="3">
        <v>8045</v>
      </c>
    </row>
    <row r="32" spans="1:15" ht="39" x14ac:dyDescent="0.3">
      <c r="A32" s="18" t="s">
        <v>119</v>
      </c>
      <c r="B32" s="3" t="s">
        <v>120</v>
      </c>
      <c r="C32" s="3">
        <v>199</v>
      </c>
      <c r="D32" s="3" t="s">
        <v>121</v>
      </c>
      <c r="E32" s="3">
        <v>8125</v>
      </c>
      <c r="K32" s="2" t="s">
        <v>122</v>
      </c>
      <c r="L32" s="3" t="s">
        <v>118</v>
      </c>
      <c r="M32" s="3">
        <v>5</v>
      </c>
      <c r="N32" s="3" t="s">
        <v>69</v>
      </c>
      <c r="O32" s="3">
        <v>8045</v>
      </c>
    </row>
    <row r="33" spans="1:15" ht="39" x14ac:dyDescent="0.3">
      <c r="A33" s="19" t="s">
        <v>123</v>
      </c>
      <c r="B33" s="6" t="s">
        <v>124</v>
      </c>
      <c r="C33" s="20">
        <v>295</v>
      </c>
      <c r="D33" s="6" t="s">
        <v>125</v>
      </c>
      <c r="E33" s="20">
        <v>8706</v>
      </c>
      <c r="K33" s="2" t="s">
        <v>126</v>
      </c>
      <c r="L33" s="3" t="s">
        <v>127</v>
      </c>
      <c r="M33" s="3">
        <v>56</v>
      </c>
      <c r="N33" s="3" t="s">
        <v>69</v>
      </c>
      <c r="O33" s="3">
        <v>8004</v>
      </c>
    </row>
    <row r="34" spans="1:15" ht="26" x14ac:dyDescent="0.3">
      <c r="A34" s="18" t="s">
        <v>128</v>
      </c>
      <c r="B34" s="3" t="s">
        <v>129</v>
      </c>
      <c r="C34" s="3">
        <v>4</v>
      </c>
      <c r="D34" s="3" t="s">
        <v>54</v>
      </c>
      <c r="E34" s="3">
        <v>8714</v>
      </c>
      <c r="K34" s="2" t="s">
        <v>130</v>
      </c>
      <c r="L34" s="3" t="s">
        <v>131</v>
      </c>
      <c r="M34" s="3">
        <v>4</v>
      </c>
      <c r="N34" s="3" t="s">
        <v>69</v>
      </c>
      <c r="O34" s="3">
        <v>8001</v>
      </c>
    </row>
    <row r="35" spans="1:15" ht="26" x14ac:dyDescent="0.3">
      <c r="A35" s="18" t="s">
        <v>132</v>
      </c>
      <c r="B35" s="3" t="s">
        <v>133</v>
      </c>
      <c r="C35" s="3">
        <v>12</v>
      </c>
      <c r="D35" s="3" t="s">
        <v>134</v>
      </c>
      <c r="E35" s="3">
        <v>9657</v>
      </c>
      <c r="K35" s="2" t="s">
        <v>135</v>
      </c>
      <c r="L35" s="3" t="s">
        <v>136</v>
      </c>
      <c r="M35" s="3">
        <v>299</v>
      </c>
      <c r="N35" s="3" t="s">
        <v>69</v>
      </c>
      <c r="O35" s="3">
        <v>8053</v>
      </c>
    </row>
    <row r="36" spans="1:15" ht="25.5" x14ac:dyDescent="0.3">
      <c r="A36" s="18" t="s">
        <v>137</v>
      </c>
      <c r="B36" s="3" t="s">
        <v>58</v>
      </c>
      <c r="C36" s="3">
        <v>18</v>
      </c>
      <c r="D36" s="3" t="s">
        <v>57</v>
      </c>
      <c r="E36" s="3">
        <v>8712</v>
      </c>
      <c r="K36" s="2" t="s">
        <v>138</v>
      </c>
      <c r="L36" s="3" t="s">
        <v>139</v>
      </c>
      <c r="M36" s="3">
        <v>70</v>
      </c>
      <c r="N36" s="3" t="s">
        <v>69</v>
      </c>
      <c r="O36" s="3">
        <v>8032</v>
      </c>
    </row>
    <row r="37" spans="1:15" ht="26" x14ac:dyDescent="0.3">
      <c r="A37" s="18" t="s">
        <v>140</v>
      </c>
      <c r="B37" s="3" t="s">
        <v>141</v>
      </c>
      <c r="C37" s="3">
        <v>14</v>
      </c>
      <c r="D37" s="3" t="s">
        <v>142</v>
      </c>
      <c r="E37" s="3">
        <v>8610</v>
      </c>
      <c r="K37" s="2" t="s">
        <v>143</v>
      </c>
      <c r="L37" s="3" t="s">
        <v>144</v>
      </c>
      <c r="M37" s="3">
        <v>5</v>
      </c>
      <c r="N37" s="3" t="s">
        <v>69</v>
      </c>
      <c r="O37" s="3">
        <v>8032</v>
      </c>
    </row>
    <row r="38" spans="1:15" ht="26" x14ac:dyDescent="0.3">
      <c r="A38" s="16" t="s">
        <v>145</v>
      </c>
      <c r="B38" s="3" t="s">
        <v>146</v>
      </c>
      <c r="C38" s="3">
        <v>130</v>
      </c>
      <c r="D38" s="3" t="s">
        <v>147</v>
      </c>
      <c r="E38" s="3">
        <v>8800</v>
      </c>
      <c r="K38" s="2" t="s">
        <v>148</v>
      </c>
      <c r="L38" s="3" t="s">
        <v>149</v>
      </c>
      <c r="M38" s="3">
        <v>51</v>
      </c>
      <c r="N38" s="3" t="s">
        <v>69</v>
      </c>
      <c r="O38" s="3">
        <v>8044</v>
      </c>
    </row>
    <row r="39" spans="1:15" ht="26" x14ac:dyDescent="0.3">
      <c r="A39" s="16" t="s">
        <v>150</v>
      </c>
      <c r="B39" s="3" t="s">
        <v>151</v>
      </c>
      <c r="C39" s="3">
        <v>32</v>
      </c>
      <c r="D39" s="3" t="s">
        <v>152</v>
      </c>
      <c r="E39" s="3">
        <v>8820</v>
      </c>
      <c r="K39" s="2" t="s">
        <v>153</v>
      </c>
      <c r="L39" s="3" t="s">
        <v>154</v>
      </c>
      <c r="M39" s="3">
        <v>40</v>
      </c>
      <c r="N39" s="3" t="s">
        <v>155</v>
      </c>
      <c r="O39" s="3">
        <v>8044</v>
      </c>
    </row>
    <row r="40" spans="1:15" ht="26" x14ac:dyDescent="0.3">
      <c r="A40" s="16" t="s">
        <v>156</v>
      </c>
      <c r="B40" s="3" t="s">
        <v>157</v>
      </c>
      <c r="C40" s="3">
        <v>21</v>
      </c>
      <c r="D40" s="3" t="s">
        <v>158</v>
      </c>
      <c r="E40" s="3">
        <v>9542</v>
      </c>
      <c r="K40" s="2" t="s">
        <v>159</v>
      </c>
      <c r="L40" s="3" t="s">
        <v>160</v>
      </c>
      <c r="M40" s="3">
        <v>227</v>
      </c>
      <c r="N40" s="3" t="s">
        <v>161</v>
      </c>
      <c r="O40" s="3">
        <v>8037</v>
      </c>
    </row>
    <row r="41" spans="1:15" ht="26" x14ac:dyDescent="0.3">
      <c r="A41" s="2" t="s">
        <v>93</v>
      </c>
      <c r="B41" s="3" t="s">
        <v>94</v>
      </c>
      <c r="C41" s="3">
        <v>29</v>
      </c>
      <c r="D41" s="3" t="s">
        <v>95</v>
      </c>
      <c r="E41" s="3">
        <v>9555</v>
      </c>
      <c r="K41" s="2" t="s">
        <v>162</v>
      </c>
      <c r="L41" s="3" t="s">
        <v>163</v>
      </c>
      <c r="M41" s="3">
        <v>79</v>
      </c>
      <c r="N41" s="3" t="s">
        <v>69</v>
      </c>
      <c r="O41" s="3">
        <v>8037</v>
      </c>
    </row>
    <row r="42" spans="1:15" ht="39" x14ac:dyDescent="0.3">
      <c r="A42" s="2" t="s">
        <v>96</v>
      </c>
      <c r="B42" s="3" t="s">
        <v>97</v>
      </c>
      <c r="C42" s="3">
        <v>2</v>
      </c>
      <c r="D42" s="3" t="s">
        <v>69</v>
      </c>
      <c r="E42" s="3">
        <v>8046</v>
      </c>
      <c r="K42" s="2" t="s">
        <v>164</v>
      </c>
      <c r="L42" s="3" t="s">
        <v>107</v>
      </c>
      <c r="M42" s="3">
        <v>66</v>
      </c>
      <c r="N42" s="3" t="s">
        <v>69</v>
      </c>
      <c r="O42" s="3">
        <v>8005</v>
      </c>
    </row>
    <row r="43" spans="1:15" ht="26" x14ac:dyDescent="0.3">
      <c r="A43" s="2" t="s">
        <v>98</v>
      </c>
      <c r="B43" s="3" t="s">
        <v>99</v>
      </c>
      <c r="C43" s="3">
        <v>70</v>
      </c>
      <c r="D43" s="3" t="s">
        <v>69</v>
      </c>
      <c r="E43" s="3">
        <v>8051</v>
      </c>
      <c r="K43" s="2" t="s">
        <v>165</v>
      </c>
      <c r="L43" s="3" t="s">
        <v>166</v>
      </c>
      <c r="M43" s="3">
        <v>231</v>
      </c>
      <c r="N43" s="3" t="s">
        <v>167</v>
      </c>
      <c r="O43" s="3">
        <v>8005</v>
      </c>
    </row>
    <row r="44" spans="1:15" ht="39" x14ac:dyDescent="0.3">
      <c r="A44" s="2" t="s">
        <v>102</v>
      </c>
      <c r="B44" s="3" t="s">
        <v>103</v>
      </c>
      <c r="C44" s="3">
        <v>12</v>
      </c>
      <c r="D44" s="3" t="s">
        <v>69</v>
      </c>
      <c r="E44" s="3">
        <v>8051</v>
      </c>
      <c r="K44" s="2" t="s">
        <v>62</v>
      </c>
      <c r="L44" s="21" t="s">
        <v>166</v>
      </c>
      <c r="M44" s="21">
        <v>231</v>
      </c>
      <c r="N44" s="21" t="s">
        <v>167</v>
      </c>
      <c r="O44" s="21">
        <v>8005</v>
      </c>
    </row>
    <row r="45" spans="1:15" ht="25.5" x14ac:dyDescent="0.3">
      <c r="A45" s="2" t="s">
        <v>106</v>
      </c>
      <c r="B45" s="3" t="s">
        <v>107</v>
      </c>
      <c r="C45" s="3">
        <v>171</v>
      </c>
      <c r="D45" s="3" t="s">
        <v>69</v>
      </c>
      <c r="E45" s="3">
        <v>8005</v>
      </c>
      <c r="K45" s="2" t="s">
        <v>168</v>
      </c>
      <c r="L45" s="3" t="s">
        <v>160</v>
      </c>
      <c r="M45" s="3">
        <v>89</v>
      </c>
      <c r="N45" s="3" t="s">
        <v>69</v>
      </c>
      <c r="O45" s="3">
        <v>8037</v>
      </c>
    </row>
    <row r="46" spans="1:15" ht="26" x14ac:dyDescent="0.3">
      <c r="A46" s="2" t="s">
        <v>110</v>
      </c>
      <c r="B46" s="3" t="s">
        <v>107</v>
      </c>
      <c r="C46" s="3">
        <v>269</v>
      </c>
      <c r="D46" s="3" t="s">
        <v>69</v>
      </c>
      <c r="E46" s="3">
        <v>8005</v>
      </c>
      <c r="K46" s="2" t="s">
        <v>169</v>
      </c>
      <c r="L46" s="3" t="s">
        <v>160</v>
      </c>
      <c r="M46" s="3">
        <v>88</v>
      </c>
      <c r="N46" s="3" t="s">
        <v>69</v>
      </c>
      <c r="O46" s="3">
        <v>8037</v>
      </c>
    </row>
    <row r="47" spans="1:15" ht="52" x14ac:dyDescent="0.3">
      <c r="A47" s="2" t="s">
        <v>113</v>
      </c>
      <c r="B47" s="3" t="s">
        <v>114</v>
      </c>
      <c r="C47" s="3">
        <v>1</v>
      </c>
      <c r="D47" s="3" t="s">
        <v>69</v>
      </c>
      <c r="E47" s="3">
        <v>8048</v>
      </c>
      <c r="K47" s="2" t="s">
        <v>50</v>
      </c>
      <c r="L47" s="14" t="s">
        <v>170</v>
      </c>
      <c r="M47" s="14">
        <v>80</v>
      </c>
      <c r="N47" s="14" t="s">
        <v>69</v>
      </c>
      <c r="O47" s="14">
        <v>8005</v>
      </c>
    </row>
    <row r="48" spans="1:15" ht="39" x14ac:dyDescent="0.3">
      <c r="A48" s="2" t="s">
        <v>117</v>
      </c>
      <c r="B48" s="3" t="s">
        <v>118</v>
      </c>
      <c r="C48" s="3">
        <v>5</v>
      </c>
      <c r="D48" s="3" t="s">
        <v>69</v>
      </c>
      <c r="E48" s="3">
        <v>8045</v>
      </c>
      <c r="K48" s="2" t="s">
        <v>171</v>
      </c>
      <c r="L48" s="3" t="s">
        <v>172</v>
      </c>
      <c r="M48" s="3">
        <v>67</v>
      </c>
      <c r="N48" s="3" t="s">
        <v>69</v>
      </c>
      <c r="O48" s="3">
        <v>8004</v>
      </c>
    </row>
    <row r="49" spans="1:15" ht="39" x14ac:dyDescent="0.3">
      <c r="A49" s="2" t="s">
        <v>122</v>
      </c>
      <c r="B49" s="3" t="s">
        <v>118</v>
      </c>
      <c r="C49" s="3">
        <v>5</v>
      </c>
      <c r="D49" s="3" t="s">
        <v>69</v>
      </c>
      <c r="E49" s="3">
        <v>8045</v>
      </c>
      <c r="K49" s="2" t="s">
        <v>173</v>
      </c>
      <c r="L49" s="3" t="s">
        <v>174</v>
      </c>
      <c r="M49" s="3">
        <v>75</v>
      </c>
      <c r="N49" s="3" t="s">
        <v>69</v>
      </c>
      <c r="O49" s="3">
        <v>8004</v>
      </c>
    </row>
    <row r="50" spans="1:15" ht="39" x14ac:dyDescent="0.3">
      <c r="A50" s="2" t="s">
        <v>126</v>
      </c>
      <c r="B50" s="3" t="s">
        <v>127</v>
      </c>
      <c r="C50" s="3">
        <v>56</v>
      </c>
      <c r="D50" s="3" t="s">
        <v>69</v>
      </c>
      <c r="E50" s="3">
        <v>8004</v>
      </c>
      <c r="K50" s="2" t="s">
        <v>175</v>
      </c>
      <c r="L50" s="3" t="s">
        <v>176</v>
      </c>
      <c r="M50" s="3">
        <v>38</v>
      </c>
      <c r="N50" s="3" t="s">
        <v>69</v>
      </c>
      <c r="O50" s="3">
        <v>8004</v>
      </c>
    </row>
    <row r="51" spans="1:15" ht="26" x14ac:dyDescent="0.3">
      <c r="A51" s="2" t="s">
        <v>130</v>
      </c>
      <c r="B51" s="3" t="s">
        <v>131</v>
      </c>
      <c r="C51" s="3">
        <v>4</v>
      </c>
      <c r="D51" s="3" t="s">
        <v>69</v>
      </c>
      <c r="E51" s="3">
        <v>8001</v>
      </c>
      <c r="K51" s="2" t="s">
        <v>177</v>
      </c>
      <c r="L51" s="3" t="s">
        <v>178</v>
      </c>
      <c r="M51" s="3">
        <v>4</v>
      </c>
      <c r="N51" s="3" t="s">
        <v>69</v>
      </c>
      <c r="O51" s="3">
        <v>8001</v>
      </c>
    </row>
    <row r="52" spans="1:15" ht="26" x14ac:dyDescent="0.3">
      <c r="A52" s="2" t="s">
        <v>135</v>
      </c>
      <c r="B52" s="3" t="s">
        <v>136</v>
      </c>
      <c r="C52" s="3">
        <v>299</v>
      </c>
      <c r="D52" s="3" t="s">
        <v>69</v>
      </c>
      <c r="E52" s="3">
        <v>8053</v>
      </c>
      <c r="K52" s="2" t="s">
        <v>179</v>
      </c>
      <c r="L52" s="3" t="s">
        <v>180</v>
      </c>
      <c r="M52" s="3">
        <v>3</v>
      </c>
      <c r="N52" s="3" t="s">
        <v>69</v>
      </c>
      <c r="O52" s="3">
        <v>8001</v>
      </c>
    </row>
    <row r="53" spans="1:15" ht="26" x14ac:dyDescent="0.3">
      <c r="A53" s="2" t="s">
        <v>138</v>
      </c>
      <c r="B53" s="3" t="s">
        <v>139</v>
      </c>
      <c r="C53" s="3">
        <v>70</v>
      </c>
      <c r="D53" s="3" t="s">
        <v>69</v>
      </c>
      <c r="E53" s="3">
        <v>8032</v>
      </c>
      <c r="K53" s="2" t="s">
        <v>181</v>
      </c>
      <c r="L53" s="3" t="s">
        <v>182</v>
      </c>
      <c r="M53" s="3">
        <v>26</v>
      </c>
      <c r="N53" s="3" t="s">
        <v>69</v>
      </c>
      <c r="O53" s="3">
        <v>8001</v>
      </c>
    </row>
    <row r="54" spans="1:15" ht="52" x14ac:dyDescent="0.3">
      <c r="A54" s="2" t="s">
        <v>143</v>
      </c>
      <c r="B54" s="3" t="s">
        <v>144</v>
      </c>
      <c r="C54" s="3">
        <v>5</v>
      </c>
      <c r="D54" s="3" t="s">
        <v>69</v>
      </c>
      <c r="E54" s="3">
        <v>8032</v>
      </c>
      <c r="K54" s="2" t="s">
        <v>183</v>
      </c>
      <c r="L54" s="3" t="s">
        <v>184</v>
      </c>
      <c r="M54" s="3">
        <v>10</v>
      </c>
      <c r="N54" s="3" t="s">
        <v>69</v>
      </c>
      <c r="O54" s="3">
        <v>8005</v>
      </c>
    </row>
    <row r="55" spans="1:15" ht="26" x14ac:dyDescent="0.3">
      <c r="A55" s="2" t="s">
        <v>148</v>
      </c>
      <c r="B55" s="3" t="s">
        <v>149</v>
      </c>
      <c r="C55" s="3">
        <v>51</v>
      </c>
      <c r="D55" s="3" t="s">
        <v>69</v>
      </c>
      <c r="E55" s="3">
        <v>8044</v>
      </c>
      <c r="K55" s="2" t="s">
        <v>185</v>
      </c>
      <c r="L55" s="3" t="s">
        <v>186</v>
      </c>
      <c r="M55" s="3">
        <v>35</v>
      </c>
      <c r="N55" s="3" t="s">
        <v>187</v>
      </c>
      <c r="O55" s="3">
        <v>8953</v>
      </c>
    </row>
    <row r="56" spans="1:15" ht="26" x14ac:dyDescent="0.3">
      <c r="A56" s="2" t="s">
        <v>153</v>
      </c>
      <c r="B56" s="3" t="s">
        <v>154</v>
      </c>
      <c r="C56" s="3">
        <v>40</v>
      </c>
      <c r="D56" s="3" t="s">
        <v>155</v>
      </c>
      <c r="E56" s="3">
        <v>8044</v>
      </c>
      <c r="K56" s="2" t="s">
        <v>188</v>
      </c>
      <c r="L56" s="3" t="s">
        <v>189</v>
      </c>
      <c r="M56" s="13" t="s">
        <v>190</v>
      </c>
      <c r="N56" s="3" t="s">
        <v>191</v>
      </c>
      <c r="O56" s="3">
        <v>8952</v>
      </c>
    </row>
    <row r="57" spans="1:15" ht="26" x14ac:dyDescent="0.3">
      <c r="A57" s="2" t="s">
        <v>159</v>
      </c>
      <c r="B57" s="3" t="s">
        <v>160</v>
      </c>
      <c r="C57" s="3">
        <v>227</v>
      </c>
      <c r="D57" s="3" t="s">
        <v>161</v>
      </c>
      <c r="E57" s="3">
        <v>8037</v>
      </c>
      <c r="K57" s="2" t="s">
        <v>192</v>
      </c>
      <c r="L57" s="3" t="s">
        <v>193</v>
      </c>
      <c r="M57" s="13" t="s">
        <v>194</v>
      </c>
      <c r="N57" s="3" t="s">
        <v>69</v>
      </c>
      <c r="O57" s="3">
        <v>8005</v>
      </c>
    </row>
    <row r="58" spans="1:15" ht="26" x14ac:dyDescent="0.3">
      <c r="A58" s="2" t="s">
        <v>162</v>
      </c>
      <c r="B58" s="3" t="s">
        <v>163</v>
      </c>
      <c r="C58" s="3">
        <v>79</v>
      </c>
      <c r="D58" s="3" t="s">
        <v>69</v>
      </c>
      <c r="E58" s="3">
        <v>8037</v>
      </c>
      <c r="K58" s="2" t="s">
        <v>195</v>
      </c>
      <c r="L58" s="3" t="s">
        <v>196</v>
      </c>
      <c r="M58" s="3">
        <v>2</v>
      </c>
      <c r="N58" s="3" t="s">
        <v>69</v>
      </c>
      <c r="O58" s="3">
        <v>8050</v>
      </c>
    </row>
    <row r="59" spans="1:15" ht="25.5" x14ac:dyDescent="0.3">
      <c r="A59" s="2" t="s">
        <v>164</v>
      </c>
      <c r="B59" s="3" t="s">
        <v>107</v>
      </c>
      <c r="C59" s="3">
        <v>66</v>
      </c>
      <c r="D59" s="3" t="s">
        <v>69</v>
      </c>
      <c r="E59" s="3">
        <v>8005</v>
      </c>
    </row>
    <row r="60" spans="1:15" ht="25.5" x14ac:dyDescent="0.3">
      <c r="A60" s="2" t="s">
        <v>165</v>
      </c>
      <c r="B60" s="3" t="s">
        <v>166</v>
      </c>
      <c r="C60" s="3">
        <v>231</v>
      </c>
      <c r="D60" s="3" t="s">
        <v>167</v>
      </c>
      <c r="E60" s="3">
        <v>8005</v>
      </c>
    </row>
    <row r="61" spans="1:15" ht="26" x14ac:dyDescent="0.3">
      <c r="A61" s="2" t="s">
        <v>62</v>
      </c>
      <c r="B61" s="3" t="s">
        <v>166</v>
      </c>
      <c r="C61" s="3">
        <v>231</v>
      </c>
      <c r="D61" s="3" t="s">
        <v>167</v>
      </c>
      <c r="E61" s="3">
        <v>8005</v>
      </c>
    </row>
    <row r="62" spans="1:15" ht="13" x14ac:dyDescent="0.3">
      <c r="A62" s="2" t="s">
        <v>168</v>
      </c>
      <c r="B62" s="3" t="s">
        <v>160</v>
      </c>
      <c r="C62" s="3">
        <v>89</v>
      </c>
      <c r="D62" s="3" t="s">
        <v>69</v>
      </c>
      <c r="E62" s="3">
        <v>8037</v>
      </c>
    </row>
    <row r="63" spans="1:15" ht="26" x14ac:dyDescent="0.3">
      <c r="A63" s="2" t="s">
        <v>169</v>
      </c>
      <c r="B63" s="3" t="s">
        <v>160</v>
      </c>
      <c r="C63" s="3">
        <v>88</v>
      </c>
      <c r="D63" s="3" t="s">
        <v>69</v>
      </c>
      <c r="E63" s="3">
        <v>8037</v>
      </c>
    </row>
    <row r="64" spans="1:15" ht="52" x14ac:dyDescent="0.3">
      <c r="A64" s="2" t="s">
        <v>50</v>
      </c>
      <c r="B64" s="3" t="s">
        <v>170</v>
      </c>
      <c r="C64" s="3">
        <v>80</v>
      </c>
      <c r="D64" s="3" t="s">
        <v>69</v>
      </c>
      <c r="E64" s="3">
        <v>8005</v>
      </c>
    </row>
    <row r="65" spans="1:5" ht="39" x14ac:dyDescent="0.3">
      <c r="A65" s="2" t="s">
        <v>171</v>
      </c>
      <c r="B65" s="3" t="s">
        <v>172</v>
      </c>
      <c r="C65" s="3">
        <v>67</v>
      </c>
      <c r="D65" s="3" t="s">
        <v>69</v>
      </c>
      <c r="E65" s="3">
        <v>8004</v>
      </c>
    </row>
    <row r="66" spans="1:5" ht="13" x14ac:dyDescent="0.3">
      <c r="A66" s="2" t="s">
        <v>173</v>
      </c>
      <c r="B66" s="3" t="s">
        <v>174</v>
      </c>
      <c r="C66" s="3">
        <v>75</v>
      </c>
      <c r="D66" s="3" t="s">
        <v>69</v>
      </c>
      <c r="E66" s="3">
        <v>8004</v>
      </c>
    </row>
    <row r="67" spans="1:5" ht="13" x14ac:dyDescent="0.3">
      <c r="A67" s="2" t="s">
        <v>175</v>
      </c>
      <c r="B67" s="3" t="s">
        <v>176</v>
      </c>
      <c r="C67" s="3">
        <v>38</v>
      </c>
      <c r="D67" s="3" t="s">
        <v>69</v>
      </c>
      <c r="E67" s="3">
        <v>8004</v>
      </c>
    </row>
    <row r="68" spans="1:5" ht="13" x14ac:dyDescent="0.3">
      <c r="A68" s="16" t="s">
        <v>197</v>
      </c>
      <c r="B68" s="3" t="s">
        <v>198</v>
      </c>
      <c r="C68" s="3">
        <v>1</v>
      </c>
      <c r="D68" s="3" t="s">
        <v>69</v>
      </c>
      <c r="E68" s="3">
        <v>8001</v>
      </c>
    </row>
    <row r="69" spans="1:5" ht="25.5" x14ac:dyDescent="0.3">
      <c r="A69" s="16" t="s">
        <v>199</v>
      </c>
      <c r="B69" s="3" t="s">
        <v>200</v>
      </c>
      <c r="C69" s="3">
        <v>28</v>
      </c>
      <c r="D69" s="3" t="s">
        <v>201</v>
      </c>
      <c r="E69" s="3">
        <v>8001</v>
      </c>
    </row>
    <row r="70" spans="1:5" ht="26" x14ac:dyDescent="0.3">
      <c r="A70" s="2" t="s">
        <v>177</v>
      </c>
      <c r="B70" s="3" t="s">
        <v>178</v>
      </c>
      <c r="C70" s="3">
        <v>4</v>
      </c>
      <c r="D70" s="3" t="s">
        <v>69</v>
      </c>
      <c r="E70" s="3">
        <v>8001</v>
      </c>
    </row>
    <row r="71" spans="1:5" ht="26" x14ac:dyDescent="0.3">
      <c r="A71" s="2" t="s">
        <v>179</v>
      </c>
      <c r="B71" s="3" t="s">
        <v>180</v>
      </c>
      <c r="C71" s="3">
        <v>3</v>
      </c>
      <c r="D71" s="3" t="s">
        <v>69</v>
      </c>
      <c r="E71" s="3">
        <v>8001</v>
      </c>
    </row>
    <row r="72" spans="1:5" ht="26" x14ac:dyDescent="0.3">
      <c r="A72" s="2" t="s">
        <v>181</v>
      </c>
      <c r="B72" s="3" t="s">
        <v>182</v>
      </c>
      <c r="C72" s="3">
        <v>26</v>
      </c>
      <c r="D72" s="3" t="s">
        <v>69</v>
      </c>
      <c r="E72" s="3">
        <v>8001</v>
      </c>
    </row>
    <row r="73" spans="1:5" ht="52" x14ac:dyDescent="0.3">
      <c r="A73" s="2" t="s">
        <v>183</v>
      </c>
      <c r="B73" s="3" t="s">
        <v>184</v>
      </c>
      <c r="C73" s="3">
        <v>10</v>
      </c>
      <c r="D73" s="3" t="s">
        <v>69</v>
      </c>
      <c r="E73" s="3">
        <v>8005</v>
      </c>
    </row>
    <row r="74" spans="1:5" ht="26" x14ac:dyDescent="0.3">
      <c r="A74" s="2" t="s">
        <v>185</v>
      </c>
      <c r="B74" s="3" t="s">
        <v>186</v>
      </c>
      <c r="C74" s="3">
        <v>35</v>
      </c>
      <c r="D74" s="3" t="s">
        <v>187</v>
      </c>
      <c r="E74" s="3">
        <v>8953</v>
      </c>
    </row>
    <row r="75" spans="1:5" ht="26" x14ac:dyDescent="0.3">
      <c r="A75" s="2" t="s">
        <v>188</v>
      </c>
      <c r="B75" s="3" t="s">
        <v>189</v>
      </c>
      <c r="C75" s="13" t="s">
        <v>190</v>
      </c>
      <c r="D75" s="3" t="s">
        <v>191</v>
      </c>
      <c r="E75" s="3">
        <v>8952</v>
      </c>
    </row>
    <row r="76" spans="1:5" ht="26" x14ac:dyDescent="0.3">
      <c r="A76" s="16" t="s">
        <v>202</v>
      </c>
      <c r="B76" s="3" t="s">
        <v>203</v>
      </c>
      <c r="C76" s="3">
        <v>60</v>
      </c>
      <c r="D76" s="3" t="s">
        <v>69</v>
      </c>
      <c r="E76" s="3">
        <v>8004</v>
      </c>
    </row>
    <row r="77" spans="1:5" ht="13" x14ac:dyDescent="0.3">
      <c r="A77" s="2" t="s">
        <v>192</v>
      </c>
      <c r="B77" s="3" t="s">
        <v>193</v>
      </c>
      <c r="C77" s="13" t="s">
        <v>194</v>
      </c>
      <c r="D77" s="3" t="s">
        <v>69</v>
      </c>
      <c r="E77" s="3">
        <v>8005</v>
      </c>
    </row>
    <row r="78" spans="1:5" ht="13" x14ac:dyDescent="0.3">
      <c r="A78" s="16" t="s">
        <v>73</v>
      </c>
      <c r="B78" s="3" t="s">
        <v>204</v>
      </c>
      <c r="C78" s="3">
        <v>50</v>
      </c>
      <c r="D78" s="3" t="s">
        <v>69</v>
      </c>
      <c r="E78" s="3">
        <v>8001</v>
      </c>
    </row>
    <row r="79" spans="1:5" ht="25.5" x14ac:dyDescent="0.3">
      <c r="A79" s="16" t="s">
        <v>205</v>
      </c>
      <c r="B79" s="3" t="s">
        <v>206</v>
      </c>
      <c r="C79" s="3">
        <v>301</v>
      </c>
      <c r="D79" s="3" t="s">
        <v>69</v>
      </c>
      <c r="E79" s="3">
        <v>8057</v>
      </c>
    </row>
    <row r="80" spans="1:5" ht="26" x14ac:dyDescent="0.3">
      <c r="A80" s="18" t="s">
        <v>207</v>
      </c>
      <c r="B80" s="3" t="s">
        <v>208</v>
      </c>
      <c r="C80" s="3" t="s">
        <v>208</v>
      </c>
      <c r="D80" s="3" t="s">
        <v>69</v>
      </c>
      <c r="E80" s="3">
        <v>8301</v>
      </c>
    </row>
    <row r="81" spans="1:5" ht="39" x14ac:dyDescent="0.3">
      <c r="A81" s="18" t="s">
        <v>209</v>
      </c>
      <c r="B81" s="3" t="s">
        <v>210</v>
      </c>
      <c r="C81" s="3">
        <v>210</v>
      </c>
      <c r="D81" s="3" t="s">
        <v>69</v>
      </c>
      <c r="E81" s="3">
        <v>8005</v>
      </c>
    </row>
    <row r="82" spans="1:5" ht="63" x14ac:dyDescent="0.3">
      <c r="A82" s="18" t="s">
        <v>211</v>
      </c>
      <c r="B82" s="3" t="s">
        <v>212</v>
      </c>
      <c r="C82" s="3" t="s">
        <v>208</v>
      </c>
      <c r="D82" s="3" t="s">
        <v>69</v>
      </c>
      <c r="E82" s="3">
        <v>8001</v>
      </c>
    </row>
    <row r="83" spans="1:5" ht="52" x14ac:dyDescent="0.3">
      <c r="A83" s="16" t="s">
        <v>213</v>
      </c>
      <c r="B83" s="6" t="s">
        <v>198</v>
      </c>
      <c r="C83" s="3">
        <v>31</v>
      </c>
      <c r="D83" s="3" t="s">
        <v>69</v>
      </c>
      <c r="E83" s="3" t="s">
        <v>208</v>
      </c>
    </row>
    <row r="84" spans="1:5" ht="39" x14ac:dyDescent="0.3">
      <c r="A84" s="16" t="s">
        <v>214</v>
      </c>
      <c r="B84" s="3" t="s">
        <v>215</v>
      </c>
      <c r="C84" s="3">
        <v>350</v>
      </c>
      <c r="D84" s="3" t="s">
        <v>69</v>
      </c>
      <c r="E84" s="3">
        <v>8050</v>
      </c>
    </row>
    <row r="85" spans="1:5" ht="26" x14ac:dyDescent="0.3">
      <c r="A85" s="18" t="s">
        <v>216</v>
      </c>
      <c r="B85" s="3" t="s">
        <v>217</v>
      </c>
      <c r="C85" s="13" t="s">
        <v>218</v>
      </c>
      <c r="D85" s="3" t="s">
        <v>69</v>
      </c>
      <c r="E85" s="3">
        <v>8004</v>
      </c>
    </row>
    <row r="86" spans="1:5" ht="26" x14ac:dyDescent="0.3">
      <c r="A86" s="18" t="s">
        <v>219</v>
      </c>
      <c r="B86" s="3" t="s">
        <v>220</v>
      </c>
      <c r="C86" s="3">
        <v>88</v>
      </c>
      <c r="D86" s="3" t="s">
        <v>69</v>
      </c>
      <c r="E86" s="3">
        <v>8001</v>
      </c>
    </row>
    <row r="87" spans="1:5" ht="25.5" x14ac:dyDescent="0.3">
      <c r="A87" s="18" t="s">
        <v>221</v>
      </c>
      <c r="B87" s="3" t="s">
        <v>222</v>
      </c>
      <c r="C87" s="3">
        <v>17</v>
      </c>
      <c r="D87" s="3" t="s">
        <v>69</v>
      </c>
      <c r="E87" s="3">
        <v>8032</v>
      </c>
    </row>
    <row r="88" spans="1:5" ht="26" x14ac:dyDescent="0.3">
      <c r="A88" s="16" t="s">
        <v>223</v>
      </c>
      <c r="B88" s="3" t="s">
        <v>224</v>
      </c>
      <c r="C88" s="3">
        <v>99</v>
      </c>
      <c r="D88" s="3" t="s">
        <v>69</v>
      </c>
      <c r="E88" s="3">
        <v>8044</v>
      </c>
    </row>
    <row r="89" spans="1:5" ht="26" x14ac:dyDescent="0.3">
      <c r="A89" s="2" t="s">
        <v>195</v>
      </c>
      <c r="B89" s="3" t="s">
        <v>196</v>
      </c>
      <c r="C89" s="3">
        <v>2</v>
      </c>
      <c r="D89" s="3" t="s">
        <v>69</v>
      </c>
      <c r="E89" s="3">
        <v>8050</v>
      </c>
    </row>
    <row r="90" spans="1:5" ht="39" x14ac:dyDescent="0.3">
      <c r="A90" s="22" t="s">
        <v>225</v>
      </c>
      <c r="B90" s="3" t="s">
        <v>208</v>
      </c>
      <c r="C90" s="3" t="s">
        <v>226</v>
      </c>
      <c r="D90" s="3" t="s">
        <v>227</v>
      </c>
      <c r="E90" s="3">
        <v>8302</v>
      </c>
    </row>
    <row r="91" spans="1:5" ht="26" x14ac:dyDescent="0.3">
      <c r="A91" s="22" t="s">
        <v>228</v>
      </c>
      <c r="B91" s="3" t="s">
        <v>208</v>
      </c>
      <c r="C91" s="3" t="s">
        <v>229</v>
      </c>
      <c r="D91" s="3" t="s">
        <v>227</v>
      </c>
      <c r="E91" s="3">
        <v>8302</v>
      </c>
    </row>
    <row r="92" spans="1:5" ht="26" x14ac:dyDescent="0.3">
      <c r="A92" s="22" t="s">
        <v>230</v>
      </c>
      <c r="B92" s="3" t="s">
        <v>231</v>
      </c>
      <c r="C92" s="3" t="s">
        <v>208</v>
      </c>
      <c r="D92" s="3" t="s">
        <v>69</v>
      </c>
      <c r="E92" s="3">
        <v>8058</v>
      </c>
    </row>
    <row r="93" spans="1:5" ht="25.5" x14ac:dyDescent="0.3">
      <c r="A93" s="22" t="s">
        <v>232</v>
      </c>
      <c r="B93" s="3" t="s">
        <v>233</v>
      </c>
      <c r="C93" s="3">
        <v>2</v>
      </c>
      <c r="D93" s="3" t="s">
        <v>234</v>
      </c>
      <c r="E93" s="3">
        <v>9500</v>
      </c>
    </row>
    <row r="94" spans="1:5" ht="26" x14ac:dyDescent="0.3">
      <c r="A94" s="22" t="s">
        <v>235</v>
      </c>
      <c r="B94" s="3" t="s">
        <v>208</v>
      </c>
      <c r="C94" s="3" t="s">
        <v>208</v>
      </c>
      <c r="D94" s="3" t="s">
        <v>208</v>
      </c>
      <c r="E94" s="3" t="s">
        <v>208</v>
      </c>
    </row>
  </sheetData>
  <mergeCells count="6">
    <mergeCell ref="A1:E1"/>
    <mergeCell ref="K1:O1"/>
    <mergeCell ref="T1:V1"/>
    <mergeCell ref="G2:H2"/>
    <mergeCell ref="T10:V10"/>
    <mergeCell ref="Q4:R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Koehler</cp:lastModifiedBy>
  <dcterms:created xsi:type="dcterms:W3CDTF">2025-11-10T13:56:37Z</dcterms:created>
  <dcterms:modified xsi:type="dcterms:W3CDTF">2025-11-10T13:56:37Z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2025-11-10T13:56:34Z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7bb316f1-be13-4412-bf18-d161838e537b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